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ca1ad375a2f24e40/Desktop/"/>
    </mc:Choice>
  </mc:AlternateContent>
  <xr:revisionPtr revIDLastSave="0" documentId="8_{34A55D11-3AC2-4709-B894-A8AC9BDCF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A Research" sheetId="4" r:id="rId1"/>
    <sheet name="Sheet1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l="1"/>
  <c r="B44" i="4" s="1"/>
  <c r="B45" i="4" s="1"/>
  <c r="B46" i="4" s="1"/>
</calcChain>
</file>

<file path=xl/sharedStrings.xml><?xml version="1.0" encoding="utf-8"?>
<sst xmlns="http://schemas.openxmlformats.org/spreadsheetml/2006/main" count="327" uniqueCount="269">
  <si>
    <t>Independent U.S. SEC RIA</t>
  </si>
  <si>
    <t>Sr. no.</t>
  </si>
  <si>
    <t>Firm Name</t>
  </si>
  <si>
    <t>Firm Website</t>
  </si>
  <si>
    <t>AUM ($M)</t>
  </si>
  <si>
    <t>HQ Location</t>
  </si>
  <si>
    <t>Alternative investment type</t>
  </si>
  <si>
    <t>Who they serve/ client type</t>
  </si>
  <si>
    <t>Research / Source URL</t>
  </si>
  <si>
    <t>Confidence</t>
  </si>
  <si>
    <t>Primary Contact</t>
  </si>
  <si>
    <t>Designation</t>
  </si>
  <si>
    <t>Phone No.</t>
  </si>
  <si>
    <t>Email</t>
  </si>
  <si>
    <t>Secondary Contact</t>
  </si>
  <si>
    <t>Accredited Investors Wealth Management</t>
  </si>
  <si>
    <t>www.accredited.com</t>
  </si>
  <si>
    <t>Edina, MN</t>
  </si>
  <si>
    <t>Private equity; venture capital; mezzanine debt; commercial real estate; litigation finance; secondary funds</t>
  </si>
  <si>
    <t>HNWI individuals/families; trusts; foundations/endowments; charities</t>
  </si>
  <si>
    <t>https://advisorfacts.com/accredited-investors-wealth-management</t>
  </si>
  <si>
    <t>96% fit — outside priority band; SEC/desktop evidence supports HNW orientation, but private-market depth and $1M+/ $2M+ minimums should be confirmed in current Form ADV Part 2A.</t>
  </si>
  <si>
    <t>Ancora Private Wealth Advisors LLC</t>
  </si>
  <si>
    <t>www.ancora.net</t>
  </si>
  <si>
    <t>Cleveland, OH</t>
  </si>
  <si>
    <t>Alternatives and private funds available through tailored portfolios</t>
  </si>
  <si>
    <t>97.9% HNWI; corporations; charitable organizations; pension plans</t>
  </si>
  <si>
    <t>https://www.rialytix.com/crd/124845/ancora-private-wealth-advisors-llc</t>
  </si>
  <si>
    <t>88% fit — outside priority band; SEC/desktop evidence supports HNW orientation, but private-market depth and $1M+/ $2M+ minimums should be confirmed in current Form ADV Part 2A.</t>
  </si>
  <si>
    <t>Avidian Wealth Solutions</t>
  </si>
  <si>
    <t>www.avidianwealth.com</t>
  </si>
  <si>
    <t>Houston, TX</t>
  </si>
  <si>
    <t>Private markets and alternative investments where suitable</t>
  </si>
  <si>
    <t>HNWI individuals/families; business owners; trusts</t>
  </si>
  <si>
    <t>https://www.rialytix.com/crd/127186/avidian-wealth-solutions</t>
  </si>
  <si>
    <t>86% fit — outside priority band; SEC/desktop evidence supports HNW orientation, but private-market depth and $1M+/ $2M+ minimums should be confirmed in current Form ADV Part 2A.</t>
  </si>
  <si>
    <t>BT Family Office LLC</t>
  </si>
  <si>
    <t>www.btfamilyoffice.com</t>
  </si>
  <si>
    <t>Atlanta, GA</t>
  </si>
  <si>
    <t>Family-office alternatives; private funds by manager selection</t>
  </si>
  <si>
    <t>100% HNWI; family office clients</t>
  </si>
  <si>
    <t>https://www.rialytix.com/crd/305713/bt-family-office-llc</t>
  </si>
  <si>
    <t>94% fit — outside priority band; SEC/desktop evidence supports HNW orientation, but private-market depth and $1M+/ $2M+ minimums should be confirmed in current Form ADV Part 2A.</t>
  </si>
  <si>
    <t>Chicago Capital LLC</t>
  </si>
  <si>
    <t>https://www.chi-cap.com/</t>
  </si>
  <si>
    <t>Chicago, IL</t>
  </si>
  <si>
    <t>Alternatives/private funds (verify strategy detail in ADV)</t>
  </si>
  <si>
    <t>HNWI (53%); individuals; charitable organizations</t>
  </si>
  <si>
    <t>https://www.rialytix.com/crd/291624/chicago-capital-llc</t>
  </si>
  <si>
    <t>78% fit — outside priority band; SEC/desktop evidence supports HNW orientation, but private-market depth and $1M+/ $2M+ minimums should be confirmed in current Form ADV Part 2A.</t>
  </si>
  <si>
    <t>Connecticut Wealth Management LLC</t>
  </si>
  <si>
    <t>https://ctwealthmgmt.com/our-clients/business-owners/</t>
  </si>
  <si>
    <t>Farmington, CT</t>
  </si>
  <si>
    <t>Alternative investments may be used in customized portfolios</t>
  </si>
  <si>
    <t>HNWI (55%); individuals; charitable organizations</t>
  </si>
  <si>
    <t>https://www.rialytix.com/crd/154310/connecticut-wealth-management-llc</t>
  </si>
  <si>
    <t>80% fit — outside priority band; SEC/desktop evidence supports HNW orientation, but private-market depth and $1M+/ $2M+ minimums should be confirmed in current Form ADV Part 2A.</t>
  </si>
  <si>
    <t>IWP Wealth Management LLC</t>
  </si>
  <si>
    <t>www.iwpwealth.com</t>
  </si>
  <si>
    <t>Denver, CO</t>
  </si>
  <si>
    <t>Private equity/real estate funds via open architecture</t>
  </si>
  <si>
    <t>HNWI and family wealth clients</t>
  </si>
  <si>
    <t>https://www.rialytix.com/crd/136314/iwp-wealth-management-llc</t>
  </si>
  <si>
    <t>JFG Family Office</t>
  </si>
  <si>
    <t>jfgfamilyoffice.com</t>
  </si>
  <si>
    <t>Private equity, private credit, real estate and hedge funds</t>
  </si>
  <si>
    <t>93.9% HNWI; family-office model; charitable</t>
  </si>
  <si>
    <t>https://www.rialytix.com/crd/125101/jfg-family-office</t>
  </si>
  <si>
    <t>97% fit — outside priority band; SEC/desktop evidence supports HNW orientation, but private-market depth and $1M+/ $2M+ minimums should be confirmed in current Form ADV Part 2A.</t>
  </si>
  <si>
    <t>Journey Strategic Wealth LLC</t>
  </si>
  <si>
    <t>journeysw.com</t>
  </si>
  <si>
    <t>Summit, NJ</t>
  </si>
  <si>
    <t>Alternatives and private markets where suitable</t>
  </si>
  <si>
    <t>HNWI; individuals; corporations; charitable</t>
  </si>
  <si>
    <t>https://www.rialytix.com/crd/310648/journey-strategic-wealth-llc</t>
  </si>
  <si>
    <t>82% fit — outside priority band; SEC/desktop evidence supports HNW orientation, but private-market depth and $1M+/ $2M+ minimums should be confirmed in current Form ADV Part 2A.</t>
  </si>
  <si>
    <t>Klingenstein Fields Advisors</t>
  </si>
  <si>
    <t>www.klingenstein.com</t>
  </si>
  <si>
    <t>New York, NY</t>
  </si>
  <si>
    <t>Private equity, venture capital, real estate and hedge funds</t>
  </si>
  <si>
    <t>74.6% HNWI; individuals; charitable; pooled vehicles</t>
  </si>
  <si>
    <t>https://www.rialytix.com/crd/105907/klingenstein-fields-advisors</t>
  </si>
  <si>
    <t>Private Management Group Inc.</t>
  </si>
  <si>
    <t>www.privatemanagementgroup.com</t>
  </si>
  <si>
    <t>Irvine, CA</t>
  </si>
  <si>
    <t>Alternatives may be included; confirm private-market allocation</t>
  </si>
  <si>
    <t>HNWI; individuals; pension plans; charitable</t>
  </si>
  <si>
    <t>https://www.rialytix.com/crd/104707/private-management-group-inc</t>
  </si>
  <si>
    <t>72% fit — outside priority band; SEC/desktop evidence supports HNW orientation, but private-market depth and $1M+/ $2M+ minimums should be confirmed in current Form ADV Part 2A.</t>
  </si>
  <si>
    <t>Sage Financial Group Inc.</t>
  </si>
  <si>
    <t>www.sagefinancial.com</t>
  </si>
  <si>
    <t>West Conshohocken, PA</t>
  </si>
  <si>
    <t>Private equity, private credit and real assets through managers</t>
  </si>
  <si>
    <t>64.1% HNWI; individuals; charitable</t>
  </si>
  <si>
    <t>https://www.rialytix.com/crd/116574/sage-financial-group-inc</t>
  </si>
  <si>
    <t>Sage Mountain Advisors LLC</t>
  </si>
  <si>
    <t>www.sagemountainadvisors.com</t>
  </si>
  <si>
    <t>83.4% HNWI; charitable; pooled vehicles</t>
  </si>
  <si>
    <t>https://www.rialytix.com/crd/298593/sage-mountain-advisors-llc</t>
  </si>
  <si>
    <t>Syon Capital LLC</t>
  </si>
  <si>
    <t>www.syoncap.com</t>
  </si>
  <si>
    <t>San Francisco, CA</t>
  </si>
  <si>
    <t>Private equity, venture capital, private credit, real estate and hedge funds</t>
  </si>
  <si>
    <t>88.9% HNWI; pooled vehicles; charitable</t>
  </si>
  <si>
    <t>https://www.rialytix.com/crd/322776/syon-capital-llc</t>
  </si>
  <si>
    <t>95% fit — outside priority band; SEC/desktop evidence supports HNW orientation, but private-market depth and $1M+/ $2M+ minimums should be confirmed in current Form ADV Part 2A.</t>
  </si>
  <si>
    <t>Turtle Creek Trust</t>
  </si>
  <si>
    <t>www.turtlecreektrust.com</t>
  </si>
  <si>
    <t>Dallas, TX</t>
  </si>
  <si>
    <t>Private equity, real estate and private credit via family-office portfolios</t>
  </si>
  <si>
    <t>95% HNWI; trusts/family office; charitable</t>
  </si>
  <si>
    <t>https://www.rialytix.com/crd/140212/turtle-creek-trust</t>
  </si>
  <si>
    <t>Wharton Business Group LLC</t>
  </si>
  <si>
    <t>whartonbusinessgroupllc.com</t>
  </si>
  <si>
    <t>Malvern, PA</t>
  </si>
  <si>
    <t>Alternatives/private funds; confirm specific exposures in ADV</t>
  </si>
  <si>
    <t>65.5% HNWI; charitable organizations; pension plans</t>
  </si>
  <si>
    <t>https://www.rialytix.com/crd/133722/wharton-business-group-llc</t>
  </si>
  <si>
    <t>90% fit — outside priority band; SEC/desktop evidence supports HNW orientation, but private-market depth and $1M+/ $2M+ minimums should be confirmed in current Form ADV Part 2A.</t>
  </si>
  <si>
    <t>Aufman Associates Inc.</t>
  </si>
  <si>
    <t>www.aufmanassociates.com</t>
  </si>
  <si>
    <t>Sewickley, PA</t>
  </si>
  <si>
    <t>Private equity/real estate funds may be used in portfolios</t>
  </si>
  <si>
    <t>67.8% HNWI; individuals; trusts/charities &lt;5%</t>
  </si>
  <si>
    <t>https://www.rialytix.com/crd/104622/aufman-associates-inc</t>
  </si>
  <si>
    <t>84% fit — within $250M–$1B priority band; SEC/desktop evidence supports HNW orientation, but private-market depth and $1M+/ $2M+ minimums should be confirmed in current Form ADV Part 2A.</t>
  </si>
  <si>
    <t>Avion Wealth</t>
  </si>
  <si>
    <t>avionwealth.com</t>
  </si>
  <si>
    <t>The Woodlands, TX</t>
  </si>
  <si>
    <t>Alternatives and private funds where suitable</t>
  </si>
  <si>
    <t>89.7% HNWI; individuals/families</t>
  </si>
  <si>
    <t>https://www.rialytix.com/crd/134242/avion-wealth</t>
  </si>
  <si>
    <t>89% fit — within $250M–$1B priority band; SEC/desktop evidence supports HNW orientation, but private-market depth and $1M+/ $2M+ minimums should be confirmed in current Form ADV Part 2A.</t>
  </si>
  <si>
    <t>Briaud Financial Advisors</t>
  </si>
  <si>
    <t>www.briaud.com</t>
  </si>
  <si>
    <t>College Station, TX</t>
  </si>
  <si>
    <t>Private equity/real estate funds may be used</t>
  </si>
  <si>
    <t>87.1% HNWI; individuals; corporations</t>
  </si>
  <si>
    <t>https://www.rialytix.com/crd/105638/briaud-financial-advisors</t>
  </si>
  <si>
    <t>87% fit — within $250M–$1B priority band; SEC/desktop evidence supports HNW orientation, but private-market depth and $1M+/ $2M+ minimums should be confirmed in current Form ADV Part 2A.</t>
  </si>
  <si>
    <t>Brickley Wealth Management</t>
  </si>
  <si>
    <t>www.brickleywealth.com</t>
  </si>
  <si>
    <t>San Mateo, CA</t>
  </si>
  <si>
    <t>Alternatives/private funds may be used; verify illiquid allocation</t>
  </si>
  <si>
    <t>44.4% HNWI; individuals; charitable</t>
  </si>
  <si>
    <t>https://www.rialytix.com/crd/287487/brickley-wealth-management</t>
  </si>
  <si>
    <t>82% fit — within $250M–$1B priority band; SEC/desktop evidence supports HNW orientation, but private-market depth and $1M+/ $2M+ minimums should be confirmed in current Form ADV Part 2A.</t>
  </si>
  <si>
    <t>Coyle Capital LLC</t>
  </si>
  <si>
    <t>www.coylecap.com</t>
  </si>
  <si>
    <t>Lakeway, TX</t>
  </si>
  <si>
    <t>Private equity, real estate and hedge funds via open architecture</t>
  </si>
  <si>
    <t>59.4% HNWI; individuals; corporations</t>
  </si>
  <si>
    <t>https://www.rialytix.com/crd/173822/coyle-capital-llc</t>
  </si>
  <si>
    <t>Emerald Advisors LLC</t>
  </si>
  <si>
    <t>emeraldadv.com</t>
  </si>
  <si>
    <t>Bellevue, WA</t>
  </si>
  <si>
    <t>69.9% HNWI; individuals; corporations</t>
  </si>
  <si>
    <t>https://www.rialytix.com/crd/305125/emerald-advisors-llc</t>
  </si>
  <si>
    <t>Enclave Advisors LLC</t>
  </si>
  <si>
    <t>www.enclaveadvisors.com</t>
  </si>
  <si>
    <t>Austin, TX</t>
  </si>
  <si>
    <t>Private equity, private credit and real estate funds</t>
  </si>
  <si>
    <t>76% HNWI; charitable; corporations</t>
  </si>
  <si>
    <t>https://www.rialytix.com/crd/165205/enclave-advisors-llc</t>
  </si>
  <si>
    <t>Erguz LLC</t>
  </si>
  <si>
    <t>erguz.com</t>
  </si>
  <si>
    <t>Private investments/illiquid strategies not publicly detailed</t>
  </si>
  <si>
    <t>HNWI individuals (SEC filing); 1-advisor firm</t>
  </si>
  <si>
    <t>https://advisor.guide/firms/erguz</t>
  </si>
  <si>
    <t>78% fit — within $250M–$1B priority band; SEC/desktop evidence supports HNW orientation, but private-market depth and $1M+/ $2M+ minimums should be confirmed in current Form ADV Part 2A.</t>
  </si>
  <si>
    <t>Galecki Financial Management Inc.</t>
  </si>
  <si>
    <t>galecki.com</t>
  </si>
  <si>
    <t>Fort Wayne, IN</t>
  </si>
  <si>
    <t>Alternatives/private funds may be used</t>
  </si>
  <si>
    <t>100% HNWI; pension consulting</t>
  </si>
  <si>
    <t>https://www.rialytix.com/crd/107218/galecki-financial-management-inc</t>
  </si>
  <si>
    <t>88% fit — within $250M–$1B priority band; SEC/desktop evidence supports HNW orientation, but private-market depth and $1M+/ $2M+ minimums should be confirmed in current Form ADV Part 2A.</t>
  </si>
  <si>
    <t>Intertide Partners</t>
  </si>
  <si>
    <t>intertidepartners.com</t>
  </si>
  <si>
    <t>Pooled-vehicle and private-market strategies; verify client-level fit</t>
  </si>
  <si>
    <t>Pooled investment vehicles; HNWI &lt;5 clients</t>
  </si>
  <si>
    <t>https://www.rialytix.com/crd/326896/intertide-partners</t>
  </si>
  <si>
    <t>65% fit — within $250M–$1B priority band; SEC/desktop evidence supports HNW orientation, but private-market depth and $1M+/ $2M+ minimums should be confirmed in current Form ADV Part 2A.</t>
  </si>
  <si>
    <t>Navis Wealth Advisors LLC</t>
  </si>
  <si>
    <t>naviswealth.com</t>
  </si>
  <si>
    <t>Rye Brook, NY</t>
  </si>
  <si>
    <t>73.8% HNWI; individuals</t>
  </si>
  <si>
    <t>https://www.rialytix.com/crd/311171/navis-wealth-advisors-llc</t>
  </si>
  <si>
    <t>New World Advisors LLC</t>
  </si>
  <si>
    <t>www.newworldadvisors.com</t>
  </si>
  <si>
    <t>Hingham, MA</t>
  </si>
  <si>
    <t>100% HNWI; charitable/pension &lt;5%</t>
  </si>
  <si>
    <t>https://www.rialytix.com/crd/296798/new-world-advisors-llc</t>
  </si>
  <si>
    <t>90% fit — within $250M–$1B priority band; SEC/desktop evidence supports HNW orientation, but private-market depth and $1M+/ $2M+ minimums should be confirmed in current Form ADV Part 2A.</t>
  </si>
  <si>
    <t>Riverbend Capital Advisors LLC</t>
  </si>
  <si>
    <t>riverbendcapitaladvisors.com</t>
  </si>
  <si>
    <t>100% HNWI; individuals/businesses</t>
  </si>
  <si>
    <t>https://www.rialytix.com/crd/157117/riverbend-capital-advisors-llc</t>
  </si>
  <si>
    <t>86% fit — within $250M–$1B priority band; SEC/desktop evidence supports HNW orientation, but private-market depth and $1M+/ $2M+ minimums should be confirmed in current Form ADV Part 2A.</t>
  </si>
  <si>
    <t>Riverpoint Wealth Management</t>
  </si>
  <si>
    <t>www.riverpointwealth.com</t>
  </si>
  <si>
    <t>Alternatives/private funds via manager selection</t>
  </si>
  <si>
    <t>69.4% HNWI; individuals; selection of other advisers</t>
  </si>
  <si>
    <t>https://www.rialytix.com/crd/168346/riverpoint-wealth-management</t>
  </si>
  <si>
    <t>Satovsky Asset Management LLC</t>
  </si>
  <si>
    <t>satovsky.com</t>
  </si>
  <si>
    <t>Private equity, real estate and hedge funds may be used</t>
  </si>
  <si>
    <t>HNWI/families; trusts and institutions</t>
  </si>
  <si>
    <t>https://adv.news/firm/143519</t>
  </si>
  <si>
    <t>Sky Investment Group LLC</t>
  </si>
  <si>
    <t>www.skyig.com</t>
  </si>
  <si>
    <t>Hartford, CT</t>
  </si>
  <si>
    <t>97.5% HNWI; charitable; pension plans</t>
  </si>
  <si>
    <t>https://www.rialytix.com/crd/134001/sky-investment-group-llc</t>
  </si>
  <si>
    <t>Sprinkle Financial Consultants LLC</t>
  </si>
  <si>
    <t>https://fintrx.com/firms/firm/sprinkle-financial-consultants-llc-112227</t>
  </si>
  <si>
    <t>Littleton, CO</t>
  </si>
  <si>
    <t>66.5% HNWI; individuals; charities &lt;5%</t>
  </si>
  <si>
    <t>https://www.rialytix.com/crd/112227/sprinkle-financial-consultants-llc</t>
  </si>
  <si>
    <t>The Arkansas Financial Group Inc.</t>
  </si>
  <si>
    <t>www.arkansasfinancial.com</t>
  </si>
  <si>
    <t>Little Rock, AR</t>
  </si>
  <si>
    <t>67.6% HNWI; individuals; charitable &lt;5%</t>
  </si>
  <si>
    <t>https://www.rialytix.com/crd/104808/the-arkansas-financial-group-inc</t>
  </si>
  <si>
    <t>The Fairman Group LLC</t>
  </si>
  <si>
    <t>www.fairmanfinancial.com</t>
  </si>
  <si>
    <t>Chesterbrook, PA</t>
  </si>
  <si>
    <t>86.6% HNWI; individuals</t>
  </si>
  <si>
    <t>https://www.rialytix.com/crd/121492/the-fairman-group-llc</t>
  </si>
  <si>
    <t>Tiempo Capital Partners</t>
  </si>
  <si>
    <t>tiempocapital.com</t>
  </si>
  <si>
    <t>Miami, FL</t>
  </si>
  <si>
    <t>100% HNWI; charitable &lt;5%</t>
  </si>
  <si>
    <t>https://www.rialytix.com/crd/329367/tiempo-capital-partners</t>
  </si>
  <si>
    <t>94% fit — within $250M–$1B priority band; SEC/desktop evidence supports HNW orientation, but private-market depth and $1M+/ $2M+ minimums should be confirmed in current Form ADV Part 2A.</t>
  </si>
  <si>
    <t>Wick Capital Partners LLC</t>
  </si>
  <si>
    <t>www.wickcapitalpartners.com</t>
  </si>
  <si>
    <t>Wayne, PA</t>
  </si>
  <si>
    <t>65.7% HNWI; individuals; pension consulting</t>
  </si>
  <si>
    <t>https://www.rialytix.com/crd/299194/wick-capital-partners-llc</t>
  </si>
  <si>
    <t>Yale Capital Corp.</t>
  </si>
  <si>
    <t>yalecapital.com</t>
  </si>
  <si>
    <t>HNWI/families; institutions</t>
  </si>
  <si>
    <t>https://adv.news/firm/126992</t>
  </si>
  <si>
    <t>Gordian Wealth Advisors LLC</t>
  </si>
  <si>
    <t>https://www.gordianwa.com/</t>
  </si>
  <si>
    <t>Mill Valley, CA</t>
  </si>
  <si>
    <t>HNWI-focused; verify family-office depth</t>
  </si>
  <si>
    <t>https://www.rialytix.com/crd/281775/gordian-wealth-advisors-llc</t>
  </si>
  <si>
    <t>76% fit — within $250M–$1B priority band; SEC/desktop evidence supports HNW orientation, but private-market depth and $1M+/ $2M+ minimums should be confirmed in current Form ADV Part 2A.</t>
  </si>
  <si>
    <t>Fi3 Advisors</t>
  </si>
  <si>
    <t>www.fi3advisors.com</t>
  </si>
  <si>
    <t>Indianapolis, IN</t>
  </si>
  <si>
    <t>70.9% HNWI; UHNW/family-office experience; charitable/pension</t>
  </si>
  <si>
    <t>https://www.rialytix.com/crd/168005/fi3-financial-advisors-llc</t>
  </si>
  <si>
    <t>92% fit — outside priority band; SEC/desktop evidence supports HNW orientation, but private-market depth and $1M+/ $2M+ minimums should be confirmed in current Form ADV Part 2A.</t>
  </si>
  <si>
    <t>Avion Wealth LLC</t>
  </si>
  <si>
    <t>Same entity as Avion Wealth; private funds where suitable</t>
  </si>
  <si>
    <t>89.7% HNWI; duplicate legal-name row</t>
  </si>
  <si>
    <t>Briaud Financial Advisors Inc.</t>
  </si>
  <si>
    <t>Same entity as Briaud Financial Advisors; private funds may be used</t>
  </si>
  <si>
    <t>87.1% HNWI; duplicate legal-name row</t>
  </si>
  <si>
    <t>Riverpoint Wealth Management Holdings LLC</t>
  </si>
  <si>
    <t>Likely holding-company/duplicate of Riverpoint Wealth Management; verify ADV entity</t>
  </si>
  <si>
    <t>Same underlying RIA likely serves HNWI; duplicate legal-name row</t>
  </si>
  <si>
    <t>70% fit — within $250M–$1B priority band; SEC/desktop evidence supports HNW orientation, but private-market depth and $1M+/ $2M+ minimums should be confirmed in current Form ADV Part 2A.</t>
  </si>
  <si>
    <t>x</t>
  </si>
  <si>
    <t>Designation preference</t>
  </si>
  <si>
    <t>CIO, investment committee members, portfolio managers, investment directors, managing partners,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</si>
</sst>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[Red]\(\$#,##0\);\-"/>
  </numFmts>
  <fonts count="6">
    <font>
      <sz val="11"/>
      <name val="Carlito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showGridLines="0" tabSelected="1" workbookViewId="0"/>
  </sheetViews>
  <sheetFormatPr defaultColWidth="8.75" defaultRowHeight="14.45"/>
  <cols>
    <col min="1" max="1" width="3.25" style="1" customWidth="1"/>
    <col min="2" max="2" width="5.75" style="1" bestFit="1" customWidth="1"/>
    <col min="3" max="3" width="34" style="1" customWidth="1"/>
    <col min="4" max="4" width="26.5" style="1" customWidth="1"/>
    <col min="5" max="5" width="12" style="1" customWidth="1"/>
    <col min="6" max="6" width="18" style="1" customWidth="1"/>
    <col min="7" max="9" width="42" style="1" customWidth="1"/>
    <col min="10" max="10" width="58" style="1" customWidth="1"/>
    <col min="11" max="11" width="22.625" style="1" customWidth="1"/>
    <col min="12" max="12" width="13.25" style="1" customWidth="1"/>
    <col min="13" max="13" width="11.75" style="1" customWidth="1"/>
    <col min="14" max="14" width="11.875" style="1" customWidth="1"/>
    <col min="15" max="15" width="18.25" style="1" customWidth="1"/>
    <col min="16" max="16" width="15.75" style="1" customWidth="1"/>
    <col min="17" max="17" width="12.625" style="1" customWidth="1"/>
    <col min="18" max="18" width="13.625" style="1" customWidth="1"/>
    <col min="19" max="16384" width="8.75" style="1"/>
  </cols>
  <sheetData>
    <row r="1" spans="1:18" s="9" customFormat="1" ht="18">
      <c r="A1" s="10" t="s">
        <v>0</v>
      </c>
      <c r="B1" s="8"/>
    </row>
    <row r="3" spans="1:18" ht="21" customHeight="1">
      <c r="B3" s="7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11</v>
      </c>
      <c r="Q3" s="6" t="s">
        <v>12</v>
      </c>
      <c r="R3" s="6" t="s">
        <v>13</v>
      </c>
    </row>
    <row r="4" spans="1:18" ht="40.15" customHeight="1">
      <c r="B4" s="3">
        <v>1</v>
      </c>
      <c r="C4" s="4" t="s">
        <v>15</v>
      </c>
      <c r="D4" s="5" t="s">
        <v>16</v>
      </c>
      <c r="E4" s="4">
        <v>4400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/>
      <c r="L4" s="4"/>
      <c r="M4" s="4"/>
      <c r="N4" s="4"/>
      <c r="O4" s="4"/>
      <c r="P4" s="4"/>
      <c r="Q4" s="4"/>
      <c r="R4" s="4"/>
    </row>
    <row r="5" spans="1:18" ht="40.15" customHeight="1">
      <c r="B5" s="3">
        <f>B4+1</f>
        <v>2</v>
      </c>
      <c r="C5" s="4" t="s">
        <v>22</v>
      </c>
      <c r="D5" s="5" t="s">
        <v>23</v>
      </c>
      <c r="E5" s="4">
        <v>3900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/>
      <c r="L5" s="4"/>
      <c r="M5" s="4"/>
      <c r="N5" s="4"/>
      <c r="O5" s="4"/>
      <c r="P5" s="4"/>
      <c r="Q5" s="4"/>
      <c r="R5" s="4"/>
    </row>
    <row r="6" spans="1:18" ht="40.15" customHeight="1">
      <c r="B6" s="3">
        <f t="shared" ref="B6:B46" si="0">B5+1</f>
        <v>3</v>
      </c>
      <c r="C6" s="4" t="s">
        <v>29</v>
      </c>
      <c r="D6" s="5" t="s">
        <v>30</v>
      </c>
      <c r="E6" s="4">
        <v>4800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/>
      <c r="L6" s="4"/>
      <c r="M6" s="4"/>
      <c r="N6" s="4"/>
      <c r="O6" s="4"/>
      <c r="P6" s="4"/>
      <c r="Q6" s="4"/>
      <c r="R6" s="4"/>
    </row>
    <row r="7" spans="1:18" ht="40.15" customHeight="1">
      <c r="B7" s="3">
        <f t="shared" si="0"/>
        <v>4</v>
      </c>
      <c r="C7" s="4" t="s">
        <v>36</v>
      </c>
      <c r="D7" s="5" t="s">
        <v>37</v>
      </c>
      <c r="E7" s="4">
        <v>4000</v>
      </c>
      <c r="F7" s="4" t="s">
        <v>38</v>
      </c>
      <c r="G7" s="4" t="s">
        <v>39</v>
      </c>
      <c r="H7" s="4" t="s">
        <v>40</v>
      </c>
      <c r="I7" s="4" t="s">
        <v>41</v>
      </c>
      <c r="J7" s="4" t="s">
        <v>42</v>
      </c>
      <c r="K7" s="4"/>
      <c r="L7" s="4"/>
      <c r="M7" s="4"/>
      <c r="N7" s="4"/>
      <c r="O7" s="4"/>
      <c r="P7" s="4"/>
      <c r="Q7" s="4"/>
      <c r="R7" s="4"/>
    </row>
    <row r="8" spans="1:18" ht="40.15" customHeight="1">
      <c r="B8" s="3">
        <f t="shared" si="0"/>
        <v>5</v>
      </c>
      <c r="C8" s="4" t="s">
        <v>43</v>
      </c>
      <c r="D8" s="5" t="s">
        <v>44</v>
      </c>
      <c r="E8" s="4">
        <v>4800</v>
      </c>
      <c r="F8" s="4" t="s">
        <v>45</v>
      </c>
      <c r="G8" s="4" t="s">
        <v>46</v>
      </c>
      <c r="H8" s="4" t="s">
        <v>47</v>
      </c>
      <c r="I8" s="4" t="s">
        <v>48</v>
      </c>
      <c r="J8" s="4" t="s">
        <v>49</v>
      </c>
      <c r="K8" s="4"/>
      <c r="L8" s="4"/>
      <c r="M8" s="4"/>
      <c r="N8" s="4"/>
      <c r="O8" s="4"/>
      <c r="P8" s="4"/>
      <c r="Q8" s="4"/>
      <c r="R8" s="4"/>
    </row>
    <row r="9" spans="1:18" ht="40.15" customHeight="1">
      <c r="B9" s="3">
        <f t="shared" si="0"/>
        <v>6</v>
      </c>
      <c r="C9" s="4" t="s">
        <v>50</v>
      </c>
      <c r="D9" s="5" t="s">
        <v>51</v>
      </c>
      <c r="E9" s="4">
        <v>4500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/>
      <c r="L9" s="4"/>
      <c r="M9" s="4"/>
      <c r="N9" s="4"/>
      <c r="O9" s="4"/>
      <c r="P9" s="4"/>
      <c r="Q9" s="4"/>
      <c r="R9" s="4"/>
    </row>
    <row r="10" spans="1:18" ht="40.15" customHeight="1">
      <c r="B10" s="3">
        <f t="shared" si="0"/>
        <v>7</v>
      </c>
      <c r="C10" s="4" t="s">
        <v>57</v>
      </c>
      <c r="D10" s="5" t="s">
        <v>58</v>
      </c>
      <c r="E10" s="4">
        <v>4300</v>
      </c>
      <c r="F10" s="4" t="s">
        <v>59</v>
      </c>
      <c r="G10" s="4" t="s">
        <v>60</v>
      </c>
      <c r="H10" s="4" t="s">
        <v>61</v>
      </c>
      <c r="I10" s="4" t="s">
        <v>62</v>
      </c>
      <c r="J10" s="4" t="s">
        <v>35</v>
      </c>
      <c r="K10" s="4"/>
      <c r="L10" s="4"/>
      <c r="M10" s="4"/>
      <c r="N10" s="4"/>
      <c r="O10" s="4"/>
      <c r="P10" s="4"/>
      <c r="Q10" s="4"/>
      <c r="R10" s="4"/>
    </row>
    <row r="11" spans="1:18" ht="40.15" customHeight="1">
      <c r="B11" s="3">
        <f t="shared" si="0"/>
        <v>8</v>
      </c>
      <c r="C11" s="4" t="s">
        <v>63</v>
      </c>
      <c r="D11" s="5" t="s">
        <v>64</v>
      </c>
      <c r="E11" s="4">
        <v>4500</v>
      </c>
      <c r="F11" s="4" t="s">
        <v>59</v>
      </c>
      <c r="G11" s="4" t="s">
        <v>65</v>
      </c>
      <c r="H11" s="4" t="s">
        <v>66</v>
      </c>
      <c r="I11" s="4" t="s">
        <v>67</v>
      </c>
      <c r="J11" s="4" t="s">
        <v>68</v>
      </c>
      <c r="K11" s="4"/>
      <c r="L11" s="4"/>
      <c r="M11" s="4"/>
      <c r="N11" s="4"/>
      <c r="O11" s="4"/>
      <c r="P11" s="4"/>
      <c r="Q11" s="4"/>
      <c r="R11" s="4"/>
    </row>
    <row r="12" spans="1:18" ht="40.15" customHeight="1">
      <c r="B12" s="3">
        <f t="shared" si="0"/>
        <v>9</v>
      </c>
      <c r="C12" s="4" t="s">
        <v>69</v>
      </c>
      <c r="D12" s="5" t="s">
        <v>70</v>
      </c>
      <c r="E12" s="4">
        <v>4600</v>
      </c>
      <c r="F12" s="4" t="s">
        <v>71</v>
      </c>
      <c r="G12" s="4" t="s">
        <v>72</v>
      </c>
      <c r="H12" s="4" t="s">
        <v>73</v>
      </c>
      <c r="I12" s="4" t="s">
        <v>74</v>
      </c>
      <c r="J12" s="4" t="s">
        <v>75</v>
      </c>
      <c r="K12" s="4"/>
      <c r="L12" s="4"/>
      <c r="M12" s="4"/>
      <c r="N12" s="4"/>
      <c r="O12" s="4"/>
      <c r="P12" s="4"/>
      <c r="Q12" s="4"/>
      <c r="R12" s="4"/>
    </row>
    <row r="13" spans="1:18" ht="40.15" customHeight="1">
      <c r="B13" s="3">
        <f t="shared" si="0"/>
        <v>10</v>
      </c>
      <c r="C13" s="4" t="s">
        <v>76</v>
      </c>
      <c r="D13" s="5" t="s">
        <v>77</v>
      </c>
      <c r="E13" s="4">
        <v>4700</v>
      </c>
      <c r="F13" s="4" t="s">
        <v>78</v>
      </c>
      <c r="G13" s="4" t="s">
        <v>79</v>
      </c>
      <c r="H13" s="4" t="s">
        <v>80</v>
      </c>
      <c r="I13" s="4" t="s">
        <v>81</v>
      </c>
      <c r="J13" s="4" t="s">
        <v>42</v>
      </c>
      <c r="K13" s="4"/>
      <c r="L13" s="4"/>
      <c r="M13" s="4"/>
      <c r="N13" s="4"/>
      <c r="O13" s="4"/>
      <c r="P13" s="4"/>
      <c r="Q13" s="4"/>
      <c r="R13" s="4"/>
    </row>
    <row r="14" spans="1:18" ht="40.15" customHeight="1">
      <c r="B14" s="3">
        <f t="shared" si="0"/>
        <v>11</v>
      </c>
      <c r="C14" s="4" t="s">
        <v>82</v>
      </c>
      <c r="D14" s="5" t="s">
        <v>83</v>
      </c>
      <c r="E14" s="4">
        <v>4900</v>
      </c>
      <c r="F14" s="4" t="s">
        <v>84</v>
      </c>
      <c r="G14" s="4" t="s">
        <v>85</v>
      </c>
      <c r="H14" s="4" t="s">
        <v>86</v>
      </c>
      <c r="I14" s="4" t="s">
        <v>87</v>
      </c>
      <c r="J14" s="4" t="s">
        <v>88</v>
      </c>
      <c r="K14" s="4"/>
      <c r="L14" s="4"/>
      <c r="M14" s="4"/>
      <c r="N14" s="4"/>
      <c r="O14" s="4"/>
      <c r="P14" s="4"/>
      <c r="Q14" s="4"/>
      <c r="R14" s="4"/>
    </row>
    <row r="15" spans="1:18" ht="40.15" customHeight="1">
      <c r="B15" s="3">
        <f t="shared" si="0"/>
        <v>12</v>
      </c>
      <c r="C15" s="4" t="s">
        <v>89</v>
      </c>
      <c r="D15" s="5" t="s">
        <v>90</v>
      </c>
      <c r="E15" s="4">
        <v>4300</v>
      </c>
      <c r="F15" s="4" t="s">
        <v>91</v>
      </c>
      <c r="G15" s="4" t="s">
        <v>92</v>
      </c>
      <c r="H15" s="4" t="s">
        <v>93</v>
      </c>
      <c r="I15" s="4" t="s">
        <v>94</v>
      </c>
      <c r="J15" s="4" t="s">
        <v>28</v>
      </c>
      <c r="K15" s="4"/>
      <c r="L15" s="4"/>
      <c r="M15" s="4"/>
      <c r="N15" s="4"/>
      <c r="O15" s="4"/>
      <c r="P15" s="4"/>
      <c r="Q15" s="4"/>
      <c r="R15" s="4"/>
    </row>
    <row r="16" spans="1:18" ht="40.15" customHeight="1">
      <c r="B16" s="3">
        <f t="shared" si="0"/>
        <v>13</v>
      </c>
      <c r="C16" s="4" t="s">
        <v>95</v>
      </c>
      <c r="D16" s="5" t="s">
        <v>96</v>
      </c>
      <c r="E16" s="4">
        <v>4300</v>
      </c>
      <c r="F16" s="4" t="s">
        <v>38</v>
      </c>
      <c r="G16" s="4" t="s">
        <v>65</v>
      </c>
      <c r="H16" s="4" t="s">
        <v>97</v>
      </c>
      <c r="I16" s="4" t="s">
        <v>98</v>
      </c>
      <c r="J16" s="4" t="s">
        <v>42</v>
      </c>
      <c r="K16" s="4"/>
      <c r="L16" s="4"/>
      <c r="M16" s="4"/>
      <c r="N16" s="4"/>
      <c r="O16" s="4"/>
      <c r="P16" s="4"/>
      <c r="Q16" s="4"/>
      <c r="R16" s="4"/>
    </row>
    <row r="17" spans="2:18" ht="40.15" customHeight="1">
      <c r="B17" s="3">
        <f t="shared" si="0"/>
        <v>14</v>
      </c>
      <c r="C17" s="4" t="s">
        <v>99</v>
      </c>
      <c r="D17" s="5" t="s">
        <v>100</v>
      </c>
      <c r="E17" s="4">
        <v>4400</v>
      </c>
      <c r="F17" s="4" t="s">
        <v>101</v>
      </c>
      <c r="G17" s="4" t="s">
        <v>102</v>
      </c>
      <c r="H17" s="4" t="s">
        <v>103</v>
      </c>
      <c r="I17" s="4" t="s">
        <v>104</v>
      </c>
      <c r="J17" s="4" t="s">
        <v>105</v>
      </c>
      <c r="K17" s="4"/>
      <c r="L17" s="4"/>
      <c r="M17" s="4"/>
      <c r="N17" s="4"/>
      <c r="O17" s="4"/>
      <c r="P17" s="4"/>
      <c r="Q17" s="4"/>
      <c r="R17" s="4"/>
    </row>
    <row r="18" spans="2:18" ht="40.15" customHeight="1">
      <c r="B18" s="3">
        <f t="shared" si="0"/>
        <v>15</v>
      </c>
      <c r="C18" s="4" t="s">
        <v>106</v>
      </c>
      <c r="D18" s="5" t="s">
        <v>107</v>
      </c>
      <c r="E18" s="4">
        <v>4300</v>
      </c>
      <c r="F18" s="4" t="s">
        <v>108</v>
      </c>
      <c r="G18" s="4" t="s">
        <v>109</v>
      </c>
      <c r="H18" s="4" t="s">
        <v>110</v>
      </c>
      <c r="I18" s="4" t="s">
        <v>111</v>
      </c>
      <c r="J18" s="4" t="s">
        <v>21</v>
      </c>
      <c r="K18" s="4"/>
      <c r="L18" s="4"/>
      <c r="M18" s="4"/>
      <c r="N18" s="4"/>
      <c r="O18" s="4"/>
      <c r="P18" s="4"/>
      <c r="Q18" s="4"/>
      <c r="R18" s="4"/>
    </row>
    <row r="19" spans="2:18" ht="40.15" customHeight="1">
      <c r="B19" s="3">
        <f t="shared" si="0"/>
        <v>16</v>
      </c>
      <c r="C19" s="4" t="s">
        <v>112</v>
      </c>
      <c r="D19" s="5" t="s">
        <v>113</v>
      </c>
      <c r="E19" s="4">
        <v>4600</v>
      </c>
      <c r="F19" s="4" t="s">
        <v>114</v>
      </c>
      <c r="G19" s="4" t="s">
        <v>115</v>
      </c>
      <c r="H19" s="4" t="s">
        <v>116</v>
      </c>
      <c r="I19" s="4" t="s">
        <v>117</v>
      </c>
      <c r="J19" s="4" t="s">
        <v>118</v>
      </c>
      <c r="K19" s="4"/>
      <c r="L19" s="4"/>
      <c r="M19" s="4"/>
      <c r="N19" s="4"/>
      <c r="O19" s="4"/>
      <c r="P19" s="4"/>
      <c r="Q19" s="4"/>
      <c r="R19" s="4"/>
    </row>
    <row r="20" spans="2:18" ht="40.15" customHeight="1">
      <c r="B20" s="3">
        <f t="shared" si="0"/>
        <v>17</v>
      </c>
      <c r="C20" s="4" t="s">
        <v>119</v>
      </c>
      <c r="D20" s="5" t="s">
        <v>120</v>
      </c>
      <c r="E20" s="4">
        <v>972</v>
      </c>
      <c r="F20" s="4" t="s">
        <v>121</v>
      </c>
      <c r="G20" s="4" t="s">
        <v>122</v>
      </c>
      <c r="H20" s="4" t="s">
        <v>123</v>
      </c>
      <c r="I20" s="4" t="s">
        <v>124</v>
      </c>
      <c r="J20" s="4" t="s">
        <v>125</v>
      </c>
      <c r="K20" s="4"/>
      <c r="L20" s="4"/>
      <c r="M20" s="4"/>
      <c r="N20" s="4"/>
      <c r="O20" s="4"/>
      <c r="P20" s="4"/>
      <c r="Q20" s="4"/>
      <c r="R20" s="4"/>
    </row>
    <row r="21" spans="2:18" ht="40.15" customHeight="1">
      <c r="B21" s="3">
        <f t="shared" si="0"/>
        <v>18</v>
      </c>
      <c r="C21" s="4" t="s">
        <v>126</v>
      </c>
      <c r="D21" s="5" t="s">
        <v>127</v>
      </c>
      <c r="E21" s="4">
        <v>985</v>
      </c>
      <c r="F21" s="4" t="s">
        <v>128</v>
      </c>
      <c r="G21" s="4" t="s">
        <v>129</v>
      </c>
      <c r="H21" s="4" t="s">
        <v>130</v>
      </c>
      <c r="I21" s="4" t="s">
        <v>131</v>
      </c>
      <c r="J21" s="4" t="s">
        <v>132</v>
      </c>
      <c r="K21" s="4"/>
      <c r="L21" s="4"/>
      <c r="M21" s="4"/>
      <c r="N21" s="4"/>
      <c r="O21" s="4"/>
      <c r="P21" s="4"/>
      <c r="Q21" s="4"/>
      <c r="R21" s="4"/>
    </row>
    <row r="22" spans="2:18" ht="40.15" customHeight="1">
      <c r="B22" s="3">
        <f t="shared" si="0"/>
        <v>19</v>
      </c>
      <c r="C22" s="4" t="s">
        <v>133</v>
      </c>
      <c r="D22" s="5" t="s">
        <v>134</v>
      </c>
      <c r="E22" s="4">
        <v>913</v>
      </c>
      <c r="F22" s="4" t="s">
        <v>135</v>
      </c>
      <c r="G22" s="4" t="s">
        <v>136</v>
      </c>
      <c r="H22" s="4" t="s">
        <v>137</v>
      </c>
      <c r="I22" s="4" t="s">
        <v>138</v>
      </c>
      <c r="J22" s="4" t="s">
        <v>139</v>
      </c>
      <c r="K22" s="4"/>
      <c r="L22" s="4"/>
      <c r="M22" s="4"/>
      <c r="N22" s="4"/>
      <c r="O22" s="4"/>
      <c r="P22" s="4"/>
      <c r="Q22" s="4"/>
      <c r="R22" s="4"/>
    </row>
    <row r="23" spans="2:18" ht="40.15" customHeight="1">
      <c r="B23" s="3">
        <f t="shared" si="0"/>
        <v>20</v>
      </c>
      <c r="C23" s="4" t="s">
        <v>140</v>
      </c>
      <c r="D23" s="5" t="s">
        <v>141</v>
      </c>
      <c r="E23" s="4">
        <v>950</v>
      </c>
      <c r="F23" s="4" t="s">
        <v>142</v>
      </c>
      <c r="G23" s="4" t="s">
        <v>143</v>
      </c>
      <c r="H23" s="4" t="s">
        <v>144</v>
      </c>
      <c r="I23" s="4" t="s">
        <v>145</v>
      </c>
      <c r="J23" s="4" t="s">
        <v>146</v>
      </c>
      <c r="K23" s="4"/>
      <c r="L23" s="4"/>
      <c r="M23" s="4"/>
      <c r="N23" s="4"/>
      <c r="O23" s="4"/>
      <c r="P23" s="4"/>
      <c r="Q23" s="4"/>
      <c r="R23" s="4"/>
    </row>
    <row r="24" spans="2:18" ht="40.15" customHeight="1">
      <c r="B24" s="3">
        <f t="shared" si="0"/>
        <v>21</v>
      </c>
      <c r="C24" s="4" t="s">
        <v>147</v>
      </c>
      <c r="D24" s="5" t="s">
        <v>148</v>
      </c>
      <c r="E24" s="4">
        <v>925</v>
      </c>
      <c r="F24" s="4" t="s">
        <v>149</v>
      </c>
      <c r="G24" s="4" t="s">
        <v>150</v>
      </c>
      <c r="H24" s="4" t="s">
        <v>151</v>
      </c>
      <c r="I24" s="4" t="s">
        <v>152</v>
      </c>
      <c r="J24" s="4" t="s">
        <v>125</v>
      </c>
      <c r="K24" s="4"/>
      <c r="L24" s="4"/>
      <c r="M24" s="4"/>
      <c r="N24" s="4"/>
      <c r="O24" s="4"/>
      <c r="P24" s="4"/>
      <c r="Q24" s="4"/>
      <c r="R24" s="4"/>
    </row>
    <row r="25" spans="2:18" ht="40.15" customHeight="1">
      <c r="B25" s="3">
        <f t="shared" si="0"/>
        <v>22</v>
      </c>
      <c r="C25" s="4" t="s">
        <v>153</v>
      </c>
      <c r="D25" s="5" t="s">
        <v>154</v>
      </c>
      <c r="E25" s="4">
        <v>941</v>
      </c>
      <c r="F25" s="4" t="s">
        <v>155</v>
      </c>
      <c r="G25" s="4" t="s">
        <v>136</v>
      </c>
      <c r="H25" s="4" t="s">
        <v>156</v>
      </c>
      <c r="I25" s="4" t="s">
        <v>157</v>
      </c>
      <c r="J25" s="4" t="s">
        <v>125</v>
      </c>
      <c r="K25" s="4"/>
      <c r="L25" s="4"/>
      <c r="M25" s="4"/>
      <c r="N25" s="4"/>
      <c r="O25" s="4"/>
      <c r="P25" s="4"/>
      <c r="Q25" s="4"/>
      <c r="R25" s="4"/>
    </row>
    <row r="26" spans="2:18" ht="40.15" customHeight="1">
      <c r="B26" s="3">
        <f t="shared" si="0"/>
        <v>23</v>
      </c>
      <c r="C26" s="4" t="s">
        <v>158</v>
      </c>
      <c r="D26" s="5" t="s">
        <v>159</v>
      </c>
      <c r="E26" s="4">
        <v>1100</v>
      </c>
      <c r="F26" s="4" t="s">
        <v>160</v>
      </c>
      <c r="G26" s="4" t="s">
        <v>161</v>
      </c>
      <c r="H26" s="4" t="s">
        <v>162</v>
      </c>
      <c r="I26" s="4" t="s">
        <v>163</v>
      </c>
      <c r="J26" s="4" t="s">
        <v>118</v>
      </c>
      <c r="K26" s="4"/>
      <c r="L26" s="4"/>
      <c r="M26" s="4"/>
      <c r="N26" s="4"/>
      <c r="O26" s="4"/>
      <c r="P26" s="4"/>
      <c r="Q26" s="4"/>
      <c r="R26" s="4"/>
    </row>
    <row r="27" spans="2:18" ht="40.15" customHeight="1">
      <c r="B27" s="3">
        <f t="shared" si="0"/>
        <v>24</v>
      </c>
      <c r="C27" s="4" t="s">
        <v>164</v>
      </c>
      <c r="D27" s="5" t="s">
        <v>165</v>
      </c>
      <c r="E27" s="4">
        <v>889</v>
      </c>
      <c r="F27" s="4" t="s">
        <v>128</v>
      </c>
      <c r="G27" s="4" t="s">
        <v>166</v>
      </c>
      <c r="H27" s="4" t="s">
        <v>167</v>
      </c>
      <c r="I27" s="4" t="s">
        <v>168</v>
      </c>
      <c r="J27" s="4" t="s">
        <v>169</v>
      </c>
      <c r="K27" s="4"/>
      <c r="L27" s="4"/>
      <c r="M27" s="4"/>
      <c r="N27" s="4"/>
      <c r="O27" s="4"/>
      <c r="P27" s="4"/>
      <c r="Q27" s="4"/>
      <c r="R27" s="4"/>
    </row>
    <row r="28" spans="2:18" ht="40.15" customHeight="1">
      <c r="B28" s="3">
        <f t="shared" si="0"/>
        <v>25</v>
      </c>
      <c r="C28" s="4" t="s">
        <v>170</v>
      </c>
      <c r="D28" s="5" t="s">
        <v>171</v>
      </c>
      <c r="E28" s="4">
        <v>929</v>
      </c>
      <c r="F28" s="4" t="s">
        <v>172</v>
      </c>
      <c r="G28" s="4" t="s">
        <v>173</v>
      </c>
      <c r="H28" s="4" t="s">
        <v>174</v>
      </c>
      <c r="I28" s="4" t="s">
        <v>175</v>
      </c>
      <c r="J28" s="4" t="s">
        <v>176</v>
      </c>
      <c r="K28" s="4"/>
      <c r="L28" s="4"/>
      <c r="M28" s="4"/>
      <c r="N28" s="4"/>
      <c r="O28" s="4"/>
      <c r="P28" s="4"/>
      <c r="Q28" s="4"/>
      <c r="R28" s="4"/>
    </row>
    <row r="29" spans="2:18" ht="40.15" customHeight="1">
      <c r="B29" s="3">
        <f t="shared" si="0"/>
        <v>26</v>
      </c>
      <c r="C29" s="4" t="s">
        <v>177</v>
      </c>
      <c r="D29" s="5" t="s">
        <v>178</v>
      </c>
      <c r="E29" s="4">
        <v>971</v>
      </c>
      <c r="F29" s="4" t="s">
        <v>45</v>
      </c>
      <c r="G29" s="4" t="s">
        <v>179</v>
      </c>
      <c r="H29" s="4" t="s">
        <v>180</v>
      </c>
      <c r="I29" s="4" t="s">
        <v>181</v>
      </c>
      <c r="J29" s="4" t="s">
        <v>182</v>
      </c>
      <c r="K29" s="4"/>
      <c r="L29" s="4"/>
      <c r="M29" s="4"/>
      <c r="N29" s="4"/>
      <c r="O29" s="4"/>
      <c r="P29" s="4"/>
      <c r="Q29" s="4"/>
      <c r="R29" s="4"/>
    </row>
    <row r="30" spans="2:18" ht="40.15" customHeight="1">
      <c r="B30" s="3">
        <f t="shared" si="0"/>
        <v>27</v>
      </c>
      <c r="C30" s="4" t="s">
        <v>183</v>
      </c>
      <c r="D30" s="5" t="s">
        <v>184</v>
      </c>
      <c r="E30" s="4">
        <v>902</v>
      </c>
      <c r="F30" s="4" t="s">
        <v>185</v>
      </c>
      <c r="G30" s="4" t="s">
        <v>173</v>
      </c>
      <c r="H30" s="4" t="s">
        <v>186</v>
      </c>
      <c r="I30" s="4" t="s">
        <v>187</v>
      </c>
      <c r="J30" s="4" t="s">
        <v>125</v>
      </c>
      <c r="K30" s="4"/>
      <c r="L30" s="4"/>
      <c r="M30" s="4"/>
      <c r="N30" s="4"/>
      <c r="O30" s="4"/>
      <c r="P30" s="4"/>
      <c r="Q30" s="4"/>
      <c r="R30" s="4"/>
    </row>
    <row r="31" spans="2:18" ht="40.15" customHeight="1">
      <c r="B31" s="3">
        <f t="shared" si="0"/>
        <v>28</v>
      </c>
      <c r="C31" s="4" t="s">
        <v>188</v>
      </c>
      <c r="D31" s="5" t="s">
        <v>189</v>
      </c>
      <c r="E31" s="4">
        <v>885</v>
      </c>
      <c r="F31" s="4" t="s">
        <v>190</v>
      </c>
      <c r="G31" s="4" t="s">
        <v>136</v>
      </c>
      <c r="H31" s="4" t="s">
        <v>191</v>
      </c>
      <c r="I31" s="4" t="s">
        <v>192</v>
      </c>
      <c r="J31" s="4" t="s">
        <v>193</v>
      </c>
      <c r="K31" s="4"/>
      <c r="L31" s="4"/>
      <c r="M31" s="4"/>
      <c r="N31" s="4"/>
      <c r="O31" s="4"/>
      <c r="P31" s="4"/>
      <c r="Q31" s="4"/>
      <c r="R31" s="4"/>
    </row>
    <row r="32" spans="2:18" ht="40.15" customHeight="1">
      <c r="B32" s="3">
        <f t="shared" si="0"/>
        <v>29</v>
      </c>
      <c r="C32" s="4" t="s">
        <v>194</v>
      </c>
      <c r="D32" s="5" t="s">
        <v>195</v>
      </c>
      <c r="E32" s="4">
        <v>965</v>
      </c>
      <c r="F32" s="4" t="s">
        <v>45</v>
      </c>
      <c r="G32" s="4" t="s">
        <v>173</v>
      </c>
      <c r="H32" s="4" t="s">
        <v>196</v>
      </c>
      <c r="I32" s="4" t="s">
        <v>197</v>
      </c>
      <c r="J32" s="4" t="s">
        <v>198</v>
      </c>
      <c r="K32" s="4"/>
      <c r="L32" s="4"/>
      <c r="M32" s="4"/>
      <c r="N32" s="4"/>
      <c r="O32" s="4"/>
      <c r="P32" s="4"/>
      <c r="Q32" s="4"/>
      <c r="R32" s="4"/>
    </row>
    <row r="33" spans="2:18" ht="40.15" customHeight="1">
      <c r="B33" s="3">
        <f t="shared" si="0"/>
        <v>30</v>
      </c>
      <c r="C33" s="4" t="s">
        <v>199</v>
      </c>
      <c r="D33" s="5" t="s">
        <v>200</v>
      </c>
      <c r="E33" s="4">
        <v>906</v>
      </c>
      <c r="F33" s="4" t="s">
        <v>45</v>
      </c>
      <c r="G33" s="4" t="s">
        <v>201</v>
      </c>
      <c r="H33" s="4" t="s">
        <v>202</v>
      </c>
      <c r="I33" s="4" t="s">
        <v>203</v>
      </c>
      <c r="J33" s="4" t="s">
        <v>125</v>
      </c>
      <c r="K33" s="4"/>
      <c r="L33" s="4"/>
      <c r="M33" s="4"/>
      <c r="N33" s="4"/>
      <c r="O33" s="4"/>
      <c r="P33" s="4"/>
      <c r="Q33" s="4"/>
      <c r="R33" s="4"/>
    </row>
    <row r="34" spans="2:18" ht="40.15" customHeight="1">
      <c r="B34" s="3">
        <f t="shared" si="0"/>
        <v>31</v>
      </c>
      <c r="C34" s="4" t="s">
        <v>204</v>
      </c>
      <c r="D34" s="5" t="s">
        <v>205</v>
      </c>
      <c r="E34" s="4">
        <v>975</v>
      </c>
      <c r="F34" s="4" t="s">
        <v>78</v>
      </c>
      <c r="G34" s="4" t="s">
        <v>206</v>
      </c>
      <c r="H34" s="4" t="s">
        <v>207</v>
      </c>
      <c r="I34" s="4" t="s">
        <v>208</v>
      </c>
      <c r="J34" s="4" t="s">
        <v>146</v>
      </c>
      <c r="K34" s="4"/>
      <c r="L34" s="4"/>
      <c r="M34" s="4"/>
      <c r="N34" s="4"/>
      <c r="O34" s="4"/>
      <c r="P34" s="4"/>
      <c r="Q34" s="4"/>
      <c r="R34" s="4"/>
    </row>
    <row r="35" spans="2:18" ht="40.15" customHeight="1">
      <c r="B35" s="3">
        <f t="shared" si="0"/>
        <v>32</v>
      </c>
      <c r="C35" s="4" t="s">
        <v>209</v>
      </c>
      <c r="D35" s="5" t="s">
        <v>210</v>
      </c>
      <c r="E35" s="4">
        <v>931</v>
      </c>
      <c r="F35" s="4" t="s">
        <v>211</v>
      </c>
      <c r="G35" s="4" t="s">
        <v>173</v>
      </c>
      <c r="H35" s="4" t="s">
        <v>212</v>
      </c>
      <c r="I35" s="4" t="s">
        <v>213</v>
      </c>
      <c r="J35" s="4" t="s">
        <v>193</v>
      </c>
      <c r="K35" s="4"/>
      <c r="L35" s="4"/>
      <c r="M35" s="4"/>
      <c r="N35" s="4"/>
      <c r="O35" s="4"/>
      <c r="P35" s="4"/>
      <c r="Q35" s="4"/>
      <c r="R35" s="4"/>
    </row>
    <row r="36" spans="2:18" ht="40.15" customHeight="1">
      <c r="B36" s="3">
        <f t="shared" si="0"/>
        <v>33</v>
      </c>
      <c r="C36" s="4" t="s">
        <v>214</v>
      </c>
      <c r="D36" s="5" t="s">
        <v>215</v>
      </c>
      <c r="E36" s="4">
        <v>926</v>
      </c>
      <c r="F36" s="4" t="s">
        <v>216</v>
      </c>
      <c r="G36" s="4" t="s">
        <v>173</v>
      </c>
      <c r="H36" s="4" t="s">
        <v>217</v>
      </c>
      <c r="I36" s="4" t="s">
        <v>218</v>
      </c>
      <c r="J36" s="4" t="s">
        <v>146</v>
      </c>
      <c r="K36" s="4"/>
      <c r="L36" s="4"/>
      <c r="M36" s="4"/>
      <c r="N36" s="4"/>
      <c r="O36" s="4"/>
      <c r="P36" s="4"/>
      <c r="Q36" s="4"/>
      <c r="R36" s="4"/>
    </row>
    <row r="37" spans="2:18" ht="40.15" customHeight="1">
      <c r="B37" s="3">
        <f t="shared" si="0"/>
        <v>34</v>
      </c>
      <c r="C37" s="4" t="s">
        <v>219</v>
      </c>
      <c r="D37" s="5" t="s">
        <v>220</v>
      </c>
      <c r="E37" s="4">
        <v>971</v>
      </c>
      <c r="F37" s="4" t="s">
        <v>221</v>
      </c>
      <c r="G37" s="4" t="s">
        <v>173</v>
      </c>
      <c r="H37" s="4" t="s">
        <v>222</v>
      </c>
      <c r="I37" s="4" t="s">
        <v>223</v>
      </c>
      <c r="J37" s="4" t="s">
        <v>169</v>
      </c>
      <c r="K37" s="4"/>
      <c r="L37" s="4"/>
      <c r="M37" s="4"/>
      <c r="N37" s="4"/>
      <c r="O37" s="4"/>
      <c r="P37" s="4"/>
      <c r="Q37" s="4"/>
      <c r="R37" s="4"/>
    </row>
    <row r="38" spans="2:18" ht="40.15" customHeight="1">
      <c r="B38" s="3">
        <f t="shared" si="0"/>
        <v>35</v>
      </c>
      <c r="C38" s="4" t="s">
        <v>224</v>
      </c>
      <c r="D38" s="5" t="s">
        <v>225</v>
      </c>
      <c r="E38" s="4">
        <v>902</v>
      </c>
      <c r="F38" s="4" t="s">
        <v>226</v>
      </c>
      <c r="G38" s="4" t="s">
        <v>201</v>
      </c>
      <c r="H38" s="4" t="s">
        <v>227</v>
      </c>
      <c r="I38" s="4" t="s">
        <v>228</v>
      </c>
      <c r="J38" s="4" t="s">
        <v>176</v>
      </c>
      <c r="K38" s="4"/>
      <c r="L38" s="4"/>
      <c r="M38" s="4"/>
      <c r="N38" s="4"/>
      <c r="O38" s="4"/>
      <c r="P38" s="4"/>
      <c r="Q38" s="4"/>
      <c r="R38" s="4"/>
    </row>
    <row r="39" spans="2:18" ht="40.15" customHeight="1">
      <c r="B39" s="3">
        <f t="shared" si="0"/>
        <v>36</v>
      </c>
      <c r="C39" s="4" t="s">
        <v>229</v>
      </c>
      <c r="D39" s="5" t="s">
        <v>230</v>
      </c>
      <c r="E39" s="4">
        <v>911</v>
      </c>
      <c r="F39" s="4" t="s">
        <v>231</v>
      </c>
      <c r="G39" s="4" t="s">
        <v>161</v>
      </c>
      <c r="H39" s="4" t="s">
        <v>232</v>
      </c>
      <c r="I39" s="4" t="s">
        <v>233</v>
      </c>
      <c r="J39" s="4" t="s">
        <v>234</v>
      </c>
      <c r="K39" s="4"/>
      <c r="L39" s="4"/>
      <c r="M39" s="4"/>
      <c r="N39" s="4"/>
      <c r="O39" s="4"/>
      <c r="P39" s="4"/>
      <c r="Q39" s="4"/>
      <c r="R39" s="4"/>
    </row>
    <row r="40" spans="2:18" ht="40.15" customHeight="1">
      <c r="B40" s="3">
        <f t="shared" si="0"/>
        <v>37</v>
      </c>
      <c r="C40" s="4" t="s">
        <v>235</v>
      </c>
      <c r="D40" s="5" t="s">
        <v>236</v>
      </c>
      <c r="E40" s="4">
        <v>930</v>
      </c>
      <c r="F40" s="4" t="s">
        <v>237</v>
      </c>
      <c r="G40" s="4" t="s">
        <v>173</v>
      </c>
      <c r="H40" s="4" t="s">
        <v>238</v>
      </c>
      <c r="I40" s="4" t="s">
        <v>239</v>
      </c>
      <c r="J40" s="4" t="s">
        <v>125</v>
      </c>
      <c r="K40" s="4"/>
      <c r="L40" s="4"/>
      <c r="M40" s="4"/>
      <c r="N40" s="4"/>
      <c r="O40" s="4"/>
      <c r="P40" s="4"/>
      <c r="Q40" s="4"/>
      <c r="R40" s="4"/>
    </row>
    <row r="41" spans="2:18" ht="40.15" customHeight="1">
      <c r="B41" s="3">
        <f t="shared" si="0"/>
        <v>38</v>
      </c>
      <c r="C41" s="4" t="s">
        <v>240</v>
      </c>
      <c r="D41" s="5" t="s">
        <v>241</v>
      </c>
      <c r="E41" s="4">
        <v>4900</v>
      </c>
      <c r="F41" s="4" t="s">
        <v>78</v>
      </c>
      <c r="G41" s="4" t="s">
        <v>206</v>
      </c>
      <c r="H41" s="4" t="s">
        <v>242</v>
      </c>
      <c r="I41" s="4" t="s">
        <v>243</v>
      </c>
      <c r="J41" s="4" t="s">
        <v>75</v>
      </c>
      <c r="K41" s="4"/>
      <c r="L41" s="4"/>
      <c r="M41" s="4"/>
      <c r="N41" s="4"/>
      <c r="O41" s="4"/>
      <c r="P41" s="4"/>
      <c r="Q41" s="4"/>
      <c r="R41" s="4"/>
    </row>
    <row r="42" spans="2:18" ht="40.15" customHeight="1">
      <c r="B42" s="3">
        <f t="shared" si="0"/>
        <v>39</v>
      </c>
      <c r="C42" s="4" t="s">
        <v>244</v>
      </c>
      <c r="D42" s="5" t="s">
        <v>245</v>
      </c>
      <c r="E42" s="4">
        <v>489</v>
      </c>
      <c r="F42" s="4" t="s">
        <v>246</v>
      </c>
      <c r="G42" s="4" t="s">
        <v>173</v>
      </c>
      <c r="H42" s="4" t="s">
        <v>247</v>
      </c>
      <c r="I42" s="4" t="s">
        <v>248</v>
      </c>
      <c r="J42" s="4" t="s">
        <v>249</v>
      </c>
      <c r="K42" s="4"/>
      <c r="L42" s="4"/>
      <c r="M42" s="4"/>
      <c r="N42" s="4"/>
      <c r="O42" s="4"/>
      <c r="P42" s="4"/>
      <c r="Q42" s="4"/>
      <c r="R42" s="4"/>
    </row>
    <row r="43" spans="2:18" ht="40.15" customHeight="1">
      <c r="B43" s="3">
        <f t="shared" si="0"/>
        <v>40</v>
      </c>
      <c r="C43" s="4" t="s">
        <v>250</v>
      </c>
      <c r="D43" s="5" t="s">
        <v>251</v>
      </c>
      <c r="E43" s="4">
        <v>1100</v>
      </c>
      <c r="F43" s="4" t="s">
        <v>252</v>
      </c>
      <c r="G43" s="4" t="s">
        <v>65</v>
      </c>
      <c r="H43" s="4" t="s">
        <v>253</v>
      </c>
      <c r="I43" s="4" t="s">
        <v>254</v>
      </c>
      <c r="J43" s="4" t="s">
        <v>255</v>
      </c>
      <c r="K43" s="4"/>
      <c r="L43" s="4"/>
      <c r="M43" s="4"/>
      <c r="N43" s="4"/>
      <c r="O43" s="4"/>
      <c r="P43" s="4"/>
      <c r="Q43" s="4"/>
      <c r="R43" s="4"/>
    </row>
    <row r="44" spans="2:18" ht="40.15" customHeight="1">
      <c r="B44" s="3">
        <f t="shared" si="0"/>
        <v>41</v>
      </c>
      <c r="C44" s="4" t="s">
        <v>256</v>
      </c>
      <c r="D44" s="5" t="s">
        <v>127</v>
      </c>
      <c r="E44" s="4">
        <v>985</v>
      </c>
      <c r="F44" s="4" t="s">
        <v>128</v>
      </c>
      <c r="G44" s="4" t="s">
        <v>257</v>
      </c>
      <c r="H44" s="4" t="s">
        <v>258</v>
      </c>
      <c r="I44" s="4" t="s">
        <v>131</v>
      </c>
      <c r="J44" s="4" t="s">
        <v>132</v>
      </c>
      <c r="K44" s="4"/>
      <c r="L44" s="4"/>
      <c r="M44" s="4"/>
      <c r="N44" s="4"/>
      <c r="O44" s="4"/>
      <c r="P44" s="4"/>
      <c r="Q44" s="4"/>
      <c r="R44" s="4"/>
    </row>
    <row r="45" spans="2:18" ht="40.15" customHeight="1">
      <c r="B45" s="3">
        <f t="shared" si="0"/>
        <v>42</v>
      </c>
      <c r="C45" s="4" t="s">
        <v>259</v>
      </c>
      <c r="D45" s="5" t="s">
        <v>134</v>
      </c>
      <c r="E45" s="4">
        <v>913</v>
      </c>
      <c r="F45" s="4" t="s">
        <v>135</v>
      </c>
      <c r="G45" s="4" t="s">
        <v>260</v>
      </c>
      <c r="H45" s="4" t="s">
        <v>261</v>
      </c>
      <c r="I45" s="4" t="s">
        <v>138</v>
      </c>
      <c r="J45" s="4" t="s">
        <v>139</v>
      </c>
      <c r="K45" s="4"/>
      <c r="L45" s="4"/>
      <c r="M45" s="4"/>
      <c r="N45" s="4"/>
      <c r="O45" s="4"/>
      <c r="P45" s="4"/>
      <c r="Q45" s="4"/>
      <c r="R45" s="4"/>
    </row>
    <row r="46" spans="2:18" ht="40.15" customHeight="1">
      <c r="B46" s="3">
        <f t="shared" si="0"/>
        <v>43</v>
      </c>
      <c r="C46" s="4" t="s">
        <v>262</v>
      </c>
      <c r="D46" s="5" t="s">
        <v>200</v>
      </c>
      <c r="E46" s="4">
        <v>906</v>
      </c>
      <c r="F46" s="4" t="s">
        <v>45</v>
      </c>
      <c r="G46" s="4" t="s">
        <v>263</v>
      </c>
      <c r="H46" s="4" t="s">
        <v>264</v>
      </c>
      <c r="I46" s="4" t="s">
        <v>203</v>
      </c>
      <c r="J46" s="4" t="s">
        <v>265</v>
      </c>
      <c r="K46" s="4"/>
      <c r="L46" s="4"/>
      <c r="M46" s="4"/>
      <c r="N46" s="4"/>
      <c r="O46" s="4"/>
      <c r="P46" s="4"/>
      <c r="Q46" s="4"/>
      <c r="R46" s="4"/>
    </row>
    <row r="47" spans="2:18">
      <c r="C47" s="2" t="s">
        <v>266</v>
      </c>
      <c r="D47" s="2" t="s">
        <v>266</v>
      </c>
      <c r="E47" s="2" t="s">
        <v>266</v>
      </c>
      <c r="F47" s="2" t="s">
        <v>266</v>
      </c>
      <c r="G47" s="2"/>
      <c r="H47" s="2"/>
      <c r="I47" s="2" t="s">
        <v>266</v>
      </c>
      <c r="J47" s="2" t="s">
        <v>266</v>
      </c>
    </row>
  </sheetData>
  <conditionalFormatting sqref="C4:D40">
    <cfRule type="duplicateValues" dxfId="1" priority="16"/>
  </conditionalFormatting>
  <conditionalFormatting sqref="C41:D46">
    <cfRule type="duplicateValues" dxfId="0" priority="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DEC7-5405-47E1-A490-A8BD95E4ACBB}">
  <dimension ref="C8:C9"/>
  <sheetViews>
    <sheetView workbookViewId="0">
      <selection activeCell="C9" sqref="C9"/>
    </sheetView>
  </sheetViews>
  <sheetFormatPr defaultRowHeight="13.9"/>
  <sheetData>
    <row r="8" spans="3:3">
      <c r="C8" t="s">
        <v>267</v>
      </c>
    </row>
    <row r="9" spans="3:3">
      <c r="C9" t="s"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170426_01</dc:creator>
  <cp:keywords/>
  <dc:description/>
  <cp:lastModifiedBy>Guest User</cp:lastModifiedBy>
  <cp:revision/>
  <dcterms:created xsi:type="dcterms:W3CDTF">2026-08-31T07:03:19Z</dcterms:created>
  <dcterms:modified xsi:type="dcterms:W3CDTF">2026-08-31T07:38:04Z</dcterms:modified>
  <cp:category/>
  <cp:contentStatus/>
</cp:coreProperties>
</file>